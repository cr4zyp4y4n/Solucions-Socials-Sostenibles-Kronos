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/>
  <workbookPr filterPrivacy="1" codeName="ThisWorkbook" defaultThemeVersion="124226"/>
  <xr:revisionPtr revIDLastSave="0" documentId="13_ncr:1_{A74AF343-5449-4909-8D4A-D95EFA00D7B0}" xr6:coauthVersionLast="47" xr6:coauthVersionMax="47" xr10:uidLastSave="{00000000-0000-0000-0000-000000000000}"/>
  <bookViews>
    <workbookView xWindow="-96" yWindow="-96" windowWidth="19992" windowHeight="12672" xr2:uid="{00000000-000D-0000-FFFF-FFFF00000000}"/>
  </bookViews>
  <sheets>
    <sheet name="Pressupost Ab" sheetId="1" r:id="rId1"/>
  </sheets>
  <definedNames>
    <definedName name="_Hlk505602239" localSheetId="0">'Pressupost Ab'!$D$18</definedName>
    <definedName name="Aportacio">DespesesProjecte[[#All],[Import de l''aportació / Cofinançament de l''entitat]]</definedName>
    <definedName name="_xlnm.Print_Area" localSheetId="0">'Pressupost Ab'!$A$1:$H$114</definedName>
    <definedName name="CostosSubvencionats">DespesesProjecte[[#All],[Import imputable a la subvenció municipal]]</definedName>
    <definedName name="Partides">DespesesProjecte[[#All],[Partides]]</definedName>
    <definedName name="Totals">DespesesProjecte[[#All],[Import total del projecte]]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" l="1"/>
  <c r="D21" i="1"/>
  <c r="D22" i="1"/>
  <c r="D23" i="1"/>
  <c r="D26" i="1"/>
  <c r="D27" i="1"/>
  <c r="D28" i="1"/>
  <c r="D29" i="1"/>
  <c r="D31" i="1"/>
  <c r="D32" i="1"/>
  <c r="D33" i="1"/>
  <c r="D35" i="1"/>
  <c r="D36" i="1"/>
  <c r="D37" i="1"/>
  <c r="D41" i="1"/>
  <c r="D42" i="1"/>
  <c r="D43" i="1"/>
  <c r="D44" i="1"/>
  <c r="D46" i="1"/>
  <c r="D47" i="1"/>
  <c r="D48" i="1"/>
  <c r="D49" i="1"/>
  <c r="D51" i="1"/>
  <c r="D52" i="1"/>
  <c r="D53" i="1"/>
  <c r="D54" i="1"/>
  <c r="D56" i="1"/>
  <c r="D57" i="1"/>
  <c r="D58" i="1"/>
  <c r="D59" i="1"/>
  <c r="D61" i="1"/>
  <c r="D62" i="1"/>
  <c r="D63" i="1"/>
  <c r="D64" i="1"/>
  <c r="D66" i="1"/>
  <c r="D67" i="1"/>
  <c r="D68" i="1"/>
  <c r="D69" i="1"/>
  <c r="D71" i="1"/>
  <c r="D72" i="1"/>
  <c r="D73" i="1"/>
  <c r="D74" i="1"/>
  <c r="D76" i="1"/>
  <c r="D77" i="1"/>
  <c r="D78" i="1"/>
  <c r="D79" i="1"/>
  <c r="D81" i="1"/>
  <c r="D82" i="1"/>
  <c r="D83" i="1"/>
  <c r="D84" i="1"/>
  <c r="D86" i="1"/>
  <c r="D87" i="1"/>
  <c r="D88" i="1"/>
  <c r="D89" i="1"/>
  <c r="B19" i="1" l="1"/>
  <c r="C24" i="1"/>
  <c r="B24" i="1" l="1"/>
  <c r="D19" i="1"/>
  <c r="D24" i="1" s="1"/>
  <c r="B34" i="1"/>
  <c r="D34" i="1" s="1"/>
  <c r="C34" i="1"/>
  <c r="D30" i="1" l="1"/>
  <c r="C25" i="1"/>
  <c r="C38" i="1" s="1"/>
  <c r="B25" i="1"/>
  <c r="D25" i="1" l="1"/>
  <c r="D38" i="1" s="1"/>
  <c r="D39" i="1" s="1"/>
  <c r="B38" i="1"/>
  <c r="C80" i="1"/>
  <c r="C75" i="1"/>
  <c r="B75" i="1"/>
  <c r="D75" i="1" s="1"/>
  <c r="C65" i="1"/>
  <c r="C60" i="1"/>
  <c r="B60" i="1"/>
  <c r="D55" i="1"/>
  <c r="C50" i="1"/>
  <c r="B50" i="1"/>
  <c r="D50" i="1" s="1"/>
  <c r="C40" i="1"/>
  <c r="B40" i="1"/>
  <c r="D40" i="1" s="1"/>
  <c r="B15" i="1"/>
  <c r="B14" i="1"/>
  <c r="D60" i="1" l="1"/>
  <c r="D80" i="1"/>
  <c r="D45" i="1"/>
  <c r="D65" i="1"/>
  <c r="D85" i="1"/>
  <c r="D70" i="1"/>
  <c r="B39" i="1"/>
  <c r="B90" i="1"/>
  <c r="C90" i="1"/>
  <c r="C39" i="1"/>
  <c r="D90" i="1" l="1"/>
  <c r="D91" i="1" s="1"/>
  <c r="B91" i="1"/>
  <c r="C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2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Indiqueu la tipologia (tècnic, direcció, administració, auxiliar...)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Indiqueu la tipologia (tècnic, direcció, administració, auxiliar...)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Indiqueu la tipologia (tècnic, direcció, administració, auxiliar...)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Indiqueu la tipologia (tècnic, direcció, administració, auxiliar...)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<sst xmlns="http://schemas.openxmlformats.org/spreadsheetml/2006/main" count="68" uniqueCount="67">
  <si>
    <t>DADES BÀSIQUES</t>
  </si>
  <si>
    <t>TOTAL DE DESPESES PREVISTES</t>
  </si>
  <si>
    <t>Import total del projecte</t>
  </si>
  <si>
    <t>Import imputable a la subvenció municipal</t>
  </si>
  <si>
    <t>Document bàsic 3</t>
  </si>
  <si>
    <t>Import de l'aportació / Cofinançament de l'entitat</t>
  </si>
  <si>
    <t>Partides</t>
  </si>
  <si>
    <t xml:space="preserve">  </t>
  </si>
  <si>
    <t xml:space="preserve">TOTAL D'ALTRES DESPESES DIRECTES </t>
  </si>
  <si>
    <t>PREVISIÓ DE DESPESES DEL PROJECTE SUBVENCIONABLE</t>
  </si>
  <si>
    <t>Nom del projecte subvencionable</t>
  </si>
  <si>
    <t>Import total del projecte subvencionable</t>
  </si>
  <si>
    <t>% de l'import sol·licitat respecte el total del projecte subvencionable</t>
  </si>
  <si>
    <t xml:space="preserve">Barcelona, </t>
  </si>
  <si>
    <t>Segell de l'organització</t>
  </si>
  <si>
    <t>Atenció: En cas de persones jurídiques no signeu aquest document ara.
Més endavant signareu digitalment aquest document</t>
  </si>
  <si>
    <t>Atenció: En cas de registre físic per les persones físiques
Afegiu la data i la signatura de la persona representant legal de l’organització aquí per tal que aquest document tingui validesa legal</t>
  </si>
  <si>
    <t>TOTAL DESPESES DIRECTES (aquelles que s’identifiquen directament amb el projecte subvencionable)</t>
  </si>
  <si>
    <t xml:space="preserve">Atenció: Cal emplenar les cel·les en blanc i, si escau, afegir les files necessàries </t>
  </si>
  <si>
    <t>Signatura de la persona representant legal de l'organització</t>
  </si>
  <si>
    <t>Nom de la persona física/ jurídica</t>
  </si>
  <si>
    <t>NIF de la persona física/ jurídica</t>
  </si>
  <si>
    <t>Import de l'aportació / Cofinançament de l'organització</t>
  </si>
  <si>
    <t>Abans d'emplenar, consultar les anotacions a peu de pàgina</t>
  </si>
  <si>
    <t>Àmbit temàtic "A" ENFORTIMENT: Creació i Consolidació</t>
  </si>
  <si>
    <r>
      <t>1.  La quantia de la subvenció atorgada no superarà el</t>
    </r>
    <r>
      <rPr>
        <b/>
        <sz val="11"/>
        <rFont val="Calibri"/>
        <family val="2"/>
        <scheme val="minor"/>
      </rPr>
      <t xml:space="preserve"> 80% de la despesa total </t>
    </r>
    <r>
      <rPr>
        <sz val="11"/>
        <rFont val="Calibri"/>
        <family val="2"/>
        <scheme val="minor"/>
      </rPr>
      <t xml:space="preserve">del projecte a subvencionar. </t>
    </r>
  </si>
  <si>
    <t xml:space="preserve">I1. Personal de suport al projecte (nòmines i seguretat social) </t>
  </si>
  <si>
    <t>I2. Assegurances</t>
  </si>
  <si>
    <t>I3. Amortització</t>
  </si>
  <si>
    <t>I4. Lloguer de béns immobles</t>
  </si>
  <si>
    <t>I5. Adquisició de materials i béns consumibles parcialment imputables al projecte</t>
  </si>
  <si>
    <t>I6. Manteniment d’edificis i/o instal·lacions</t>
  </si>
  <si>
    <t>I7. Comunicacions (telèfon, correus, connexió a internet)</t>
  </si>
  <si>
    <t>I8. Despeses financeres</t>
  </si>
  <si>
    <t>I9. Subministraments</t>
  </si>
  <si>
    <t>I10. Treball realitzat per altres empreses, parcialment imputables al projecte (neteja, seguretat...)</t>
  </si>
  <si>
    <t>TOTAL DE DESPESES DEL PERSONAL</t>
  </si>
  <si>
    <t>D2. Nòmines i seguretat social d’estudiants en pràctiques (amb un límit del 80% del seu sou brut corresponent al període de l’execució de la subvenció) - excepte si la seguretat social està bonificada</t>
  </si>
  <si>
    <r>
      <t xml:space="preserve">TOTAL DESPESES INDIRECTES (es podran assignar al projecte subvencionable fent sevir un percentatge d’assignació) - </t>
    </r>
    <r>
      <rPr>
        <b/>
        <sz val="11"/>
        <rFont val="Calibri"/>
        <family val="2"/>
        <scheme val="minor"/>
      </rPr>
      <t>Màxim 10% de l’import imputable a la subvenció municipal</t>
    </r>
  </si>
  <si>
    <t>D3. Treballs realitzats per professionals i empreses externes directament vinculades al projecte (inclou despeses de l'estudiant en pràctiques: taxes i altres despeses relacionades amb el conveni de pràctiques)</t>
  </si>
  <si>
    <r>
      <t xml:space="preserve">5. En </t>
    </r>
    <r>
      <rPr>
        <b/>
        <sz val="11"/>
        <rFont val="Calibri"/>
        <family val="2"/>
        <scheme val="minor"/>
      </rPr>
      <t>cap cas es consideraran despeses subvencionables:</t>
    </r>
    <r>
      <rPr>
        <sz val="11"/>
        <rFont val="Calibri"/>
        <family val="2"/>
        <scheme val="minor"/>
      </rPr>
      <t xml:space="preserve">
&gt; Els impostos indirectes quan siguin susceptibles de recuperació o compensació.
&gt;  Les despeses d'inversió, incloses les adquisicions de béns mobles.
&gt; Les despeses realitzades amb data anterior a l'inici del projecte i data posterior a la finalització del projecte.
&gt; Altres despeses que s'indiquin a la convocatòria.</t>
    </r>
  </si>
  <si>
    <r>
      <t>4.  Es limita amb un màxim del</t>
    </r>
    <r>
      <rPr>
        <b/>
        <sz val="11"/>
        <rFont val="Calibri"/>
        <family val="2"/>
        <scheme val="minor"/>
      </rPr>
      <t xml:space="preserve"> 25% l’import de la subvenció per a despeses de personal propi </t>
    </r>
    <r>
      <rPr>
        <sz val="11"/>
        <rFont val="Calibri"/>
        <family val="2"/>
        <scheme val="minor"/>
      </rPr>
      <t xml:space="preserve">que participa de forma directa i degudament al projecte. I un màxim del </t>
    </r>
    <r>
      <rPr>
        <b/>
        <sz val="11"/>
        <rFont val="Calibri"/>
        <family val="2"/>
        <scheme val="minor"/>
      </rPr>
      <t>80%</t>
    </r>
    <r>
      <rPr>
        <sz val="11"/>
        <rFont val="Calibri"/>
        <family val="2"/>
        <scheme val="minor"/>
      </rPr>
      <t xml:space="preserve"> per nòmines i seguretat social d</t>
    </r>
    <r>
      <rPr>
        <b/>
        <sz val="11"/>
        <rFont val="Calibri"/>
        <family val="2"/>
        <scheme val="minor"/>
      </rPr>
      <t>’estudiants en pràctiques</t>
    </r>
    <r>
      <rPr>
        <sz val="11"/>
        <rFont val="Calibri"/>
        <family val="2"/>
        <scheme val="minor"/>
      </rPr>
      <t xml:space="preserve"> (sou brut corresponent al període de l’execució de la subvenció) - excepte si la seguretat social està bonificada.</t>
    </r>
  </si>
  <si>
    <r>
      <t>9. Els projectes subvencionats han de</t>
    </r>
    <r>
      <rPr>
        <b/>
        <sz val="11"/>
        <rFont val="Calibri"/>
        <family val="2"/>
        <scheme val="minor"/>
      </rPr>
      <t xml:space="preserve"> fomentar activitats d'interès públic o social</t>
    </r>
    <r>
      <rPr>
        <sz val="11"/>
        <rFont val="Calibri"/>
        <family val="2"/>
        <scheme val="minor"/>
      </rPr>
      <t>, les quals han de ser gratuïtes per a les persones participants o en cap cas el preu ha de suposar un obstacle per a la seva participació, buscant altres formes d'accés per a persones amb dificultats econòmiques. En el cas que hi hagi algun tipus de lucre, haurà de revertir en les pròpies activitats subvencionades.</t>
    </r>
  </si>
  <si>
    <r>
      <t>11. El/la beneficiari/ària no podrà alterar en cap cas el</t>
    </r>
    <r>
      <rPr>
        <b/>
        <sz val="11"/>
        <rFont val="Calibri"/>
        <family val="2"/>
        <scheme val="minor"/>
      </rPr>
      <t xml:space="preserve"> destí de les subvencions concedides.</t>
    </r>
  </si>
  <si>
    <r>
      <t xml:space="preserve">8. Els </t>
    </r>
    <r>
      <rPr>
        <b/>
        <sz val="11"/>
        <rFont val="Calibri"/>
        <family val="2"/>
        <scheme val="minor"/>
      </rPr>
      <t>materials produïts de difusió, estudis, informes o materials didàctics utilitzats</t>
    </r>
    <r>
      <rPr>
        <sz val="11"/>
        <rFont val="Calibri"/>
        <family val="2"/>
        <scheme val="minor"/>
      </rPr>
      <t>, etc. en el cas de tractar-se de despesa elegible de la subvenció, hauran de tenir llicència Creative Commons -Compartir Igual- (share a like)  i no podrà tenir la condició –Sense Obres Derivades- (no derivate Works).</t>
    </r>
  </si>
  <si>
    <r>
      <t xml:space="preserve">D1. Nòmines i seguretat social IRPF (règim general o socis/es cooperativistes en règim d’autònoms) del personal propi  vinculat al projecte subvencionable </t>
    </r>
    <r>
      <rPr>
        <b/>
        <sz val="11"/>
        <rFont val="Calibri"/>
        <family val="2"/>
        <scheme val="minor"/>
      </rPr>
      <t>(màxim 25% import subvenció)</t>
    </r>
  </si>
  <si>
    <r>
      <t xml:space="preserve">3.  En el cas que la sol·licitud presentada sobrepassi l’import màxim, es considerarà com a import sol·licitat </t>
    </r>
    <r>
      <rPr>
        <b/>
        <sz val="11"/>
        <rFont val="Calibri"/>
        <family val="2"/>
        <scheme val="minor"/>
      </rPr>
      <t>el màxim de l'establert a la convocatòria</t>
    </r>
    <r>
      <rPr>
        <sz val="11"/>
        <rFont val="Calibri"/>
        <family val="2"/>
        <scheme val="minor"/>
      </rPr>
      <t>.</t>
    </r>
  </si>
  <si>
    <r>
      <t xml:space="preserve">2.  L'import màxim de subvenció per a la modalitat </t>
    </r>
    <r>
      <rPr>
        <b/>
        <sz val="11"/>
        <rFont val="Calibri"/>
        <family val="2"/>
        <scheme val="minor"/>
      </rPr>
      <t>Ab és 9.000€.</t>
    </r>
  </si>
  <si>
    <r>
      <t xml:space="preserve">Modalitat Ab: </t>
    </r>
    <r>
      <rPr>
        <sz val="18"/>
        <color theme="1"/>
        <rFont val="Calibri"/>
        <family val="2"/>
        <scheme val="minor"/>
      </rPr>
      <t>Accions de consolidació empresarial i escalabilitat de les iniciatives d’Economia Social i Solidària per enfortir la seva viabilitat econòmica, així com l’ orientació d’aquesta consolidació a l’Acord i Estratègia #ESSBCN2030 i als objectius estratègics del PIESS 2024-2027</t>
    </r>
  </si>
  <si>
    <t>Modalitat Ab: Accions de consolidació empresarial i escalabilitat de les iniciatives d’Economia Social i Solidària per enfortir la seva viabilitat econòmica, així com l’ orientació d’aquesta consolidació a l’Acord i Estratègia #ESSBCN2030 i als objectius estratègics del PIESS 2024-2027</t>
  </si>
  <si>
    <t xml:space="preserve">CONVOCATÒRIA 2026 DEL PROGRAMA DE SUBVENCIONS DE L’AJUNTAMENT DE BARCELONA PER L’ENFORTIMENT DE L’ECONOMIA SOCIAL I SOLIDÀRIA I PER LA INTERCOOPERACIÓ EN L’ESTRATÈGIA #ESSBCN2030 - ENFORTIM L’ESS 2026
</t>
  </si>
  <si>
    <t>D4. Despeses de matriculació en accions formatives externes amb una durada mínima de 150 hores i/o un cost mínim de 600€ per a cada participant i màxim de 3000€</t>
  </si>
  <si>
    <t>* L'IMPORT MÀXIM SUBVENCIONABLE ÉS 9.000€, tenint en compte que l'import sol·licitat no pot superar el 80% del cost total del projecte.</t>
  </si>
  <si>
    <r>
      <t xml:space="preserve">7. La </t>
    </r>
    <r>
      <rPr>
        <b/>
        <sz val="11"/>
        <rFont val="Calibri"/>
        <family val="2"/>
        <scheme val="minor"/>
      </rPr>
      <t xml:space="preserve">retribució de les persones contractades </t>
    </r>
    <r>
      <rPr>
        <sz val="11"/>
        <rFont val="Calibri"/>
        <family val="2"/>
        <scheme val="minor"/>
      </rPr>
      <t>en el marc del projecte subvencionat no pot ser inferior al Salari Mínim Interprofessional (SMI), ni a l'estipulada al corresponent conveni o marc normatiu de referència (punt 7 de les bases reguladores vigents: requisits dels projectes).</t>
    </r>
  </si>
  <si>
    <r>
      <t xml:space="preserve">12. El programa de pràctiques de l’alumne/a ha de ser d’una durada mínima de </t>
    </r>
    <r>
      <rPr>
        <b/>
        <sz val="11"/>
        <rFont val="Calibri"/>
        <family val="2"/>
        <scheme val="minor"/>
      </rPr>
      <t>200 hores o superior.</t>
    </r>
    <r>
      <rPr>
        <sz val="11"/>
        <rFont val="Calibri"/>
        <family val="2"/>
        <scheme val="minor"/>
      </rPr>
      <t xml:space="preserve"> Caldrà mantenir les hores mínimes proposades a la proposta valorada, no podent disminuir-les, un cop concedida la subvenció. Sí es podrien incrementar, no obstant.</t>
    </r>
  </si>
  <si>
    <t>13. Caldrà donar d’alta a l’alumne/a en la seguretat social com a alumne/a en pràctiques (tant per pràctiques curriculars com extracurriculars universitàries com per als alumnes de FP en formació dual –modalitat beca-).</t>
  </si>
  <si>
    <r>
      <t xml:space="preserve">14. Només </t>
    </r>
    <r>
      <rPr>
        <b/>
        <sz val="11"/>
        <rFont val="Calibri"/>
        <family val="2"/>
        <scheme val="minor"/>
      </rPr>
      <t>pot presentar-se una sol·licitud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per un lloc de pràctiques</t>
    </r>
    <r>
      <rPr>
        <sz val="11"/>
        <rFont val="Calibri"/>
        <family val="2"/>
        <scheme val="minor"/>
      </rPr>
      <t xml:space="preserve"> per organització sol·licitant.</t>
    </r>
  </si>
  <si>
    <r>
      <t xml:space="preserve">15. Caldrà remunerar l’alumne/a en pràctiques universitàries (curriculars o extracurriculars) amb un cost brut hora mínim de </t>
    </r>
    <r>
      <rPr>
        <b/>
        <sz val="11"/>
        <rFont val="Calibri"/>
        <family val="2"/>
        <scheme val="minor"/>
      </rPr>
      <t>6€/hora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o superior.</t>
    </r>
    <r>
      <rPr>
        <sz val="11"/>
        <rFont val="Calibri"/>
        <family val="2"/>
        <scheme val="minor"/>
      </rPr>
      <t xml:space="preserve"> Caldrà remunerar l’alumne/a segons la modalitat d’FP dual escollida com a mínim d’acord amb la normativa específica que estableix el Departament d’Educació de la Generalitat de Catalunya o superior. No es podrà disminuir el cost brut hora, un cop concedida la subvenció. Sí serà possible incrementar-lo.</t>
    </r>
  </si>
  <si>
    <r>
      <t xml:space="preserve">16. En el cas de presentar un projecte que inclou la tipologia de subvencionar matrícules de cursos existents, el </t>
    </r>
    <r>
      <rPr>
        <b/>
        <sz val="11"/>
        <rFont val="Calibri"/>
        <family val="2"/>
        <scheme val="minor"/>
      </rPr>
      <t>preu de la matrícula haurà de ser igual o superior a 600 euros i com a màxim 3.000 euros</t>
    </r>
    <r>
      <rPr>
        <sz val="11"/>
        <rFont val="Calibri"/>
        <family val="2"/>
        <scheme val="minor"/>
      </rPr>
      <t xml:space="preserve"> i d'una </t>
    </r>
    <r>
      <rPr>
        <b/>
        <sz val="11"/>
        <rFont val="Calibri"/>
        <family val="2"/>
        <scheme val="minor"/>
      </rPr>
      <t>durada mínima de la formació de 150 hores</t>
    </r>
    <r>
      <rPr>
        <sz val="11"/>
        <rFont val="Calibri"/>
        <family val="2"/>
        <scheme val="minor"/>
      </rPr>
      <t>.</t>
    </r>
  </si>
  <si>
    <r>
      <t xml:space="preserve">17. </t>
    </r>
    <r>
      <rPr>
        <b/>
        <sz val="11"/>
        <rFont val="Calibri"/>
        <family val="2"/>
        <scheme val="minor"/>
      </rPr>
      <t>No es subvencionaran</t>
    </r>
    <r>
      <rPr>
        <sz val="11"/>
        <rFont val="Calibri"/>
        <family val="2"/>
        <scheme val="minor"/>
      </rPr>
      <t xml:space="preserve"> propostes perquè el personal intern i vinculat a l'organització beneficiària faci les formacions/tallers internament o a tercers.</t>
    </r>
  </si>
  <si>
    <r>
      <t xml:space="preserve">10. L'Ajuntament de Barcelona i les seves entitats municipals </t>
    </r>
    <r>
      <rPr>
        <b/>
        <sz val="11"/>
        <rFont val="Calibri"/>
        <family val="2"/>
        <scheme val="minor"/>
      </rPr>
      <t>en cap cas subvencionaran el mateix projecte</t>
    </r>
    <r>
      <rPr>
        <sz val="11"/>
        <rFont val="Calibri"/>
        <family val="2"/>
        <scheme val="minor"/>
      </rPr>
      <t>, executat durant el mateix període, per cap altre procediment de concessió que no sigui el regulat per les bases reguladores vigents.</t>
    </r>
  </si>
  <si>
    <r>
      <t xml:space="preserve">6. Són imputables en aquesta modalitat les </t>
    </r>
    <r>
      <rPr>
        <b/>
        <sz val="11"/>
        <rFont val="Calibri"/>
        <family val="2"/>
        <scheme val="minor"/>
      </rPr>
      <t>despeses indirectes</t>
    </r>
    <r>
      <rPr>
        <sz val="11"/>
        <rFont val="Calibri"/>
        <family val="2"/>
        <scheme val="minor"/>
      </rPr>
      <t xml:space="preserve">, detallades en l’apartat 13.3. de les bases reguladores vigents; </t>
    </r>
    <r>
      <rPr>
        <b/>
        <sz val="11"/>
        <rFont val="Calibri"/>
        <family val="2"/>
        <scheme val="minor"/>
      </rPr>
      <t>amb un màxim del 10% de l'import de la subvenció</t>
    </r>
    <r>
      <rPr>
        <sz val="11"/>
        <rFont val="Calibri"/>
        <family val="2"/>
        <scheme val="minor"/>
      </rPr>
      <t>.</t>
    </r>
  </si>
  <si>
    <t>E I SOLUCIONS SOCIALS SOSTENIBLES SCCL</t>
  </si>
  <si>
    <t>ESCALBRADOR</t>
  </si>
  <si>
    <t>DIRECTOR TÈCNIC</t>
  </si>
  <si>
    <t>RESPONSABLE CATERING</t>
  </si>
  <si>
    <t>RESPONSABLE COMERÇ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</si>
</sst>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3F3F3F"/>
      <name val="Calibri"/>
      <family val="2"/>
    </font>
    <font>
      <sz val="10"/>
      <color theme="1"/>
      <name val="Symbol"/>
      <family val="1"/>
      <charset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ECF10F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D5F828"/>
        <bgColor indexed="64"/>
      </patternFill>
    </fill>
    <fill>
      <patternFill patternType="solid">
        <fgColor rgb="FF573C7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/>
      <top/>
      <bottom/>
      <diagonal/>
    </border>
  </borders>
  <cellStyleXfs count="11">
    <xf numFmtId="0" fontId="0" fillId="0" borderId="0"/>
    <xf numFmtId="0" fontId="1" fillId="0" borderId="0"/>
    <xf numFmtId="0" fontId="7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9" applyAlignment="0">
      <alignment vertical="center" wrapText="1"/>
      <protection locked="0"/>
    </xf>
    <xf numFmtId="0" fontId="1" fillId="10" borderId="0" applyNumberFormat="0" applyBorder="0" applyAlignment="0" applyProtection="0"/>
    <xf numFmtId="44" fontId="1" fillId="0" borderId="0" applyFont="0" applyFill="0" applyBorder="0" applyAlignment="0" applyProtection="0"/>
    <xf numFmtId="0" fontId="21" fillId="14" borderId="1" applyNumberFormat="0" applyProtection="0"/>
  </cellStyleXfs>
  <cellXfs count="64">
    <xf numFmtId="0" fontId="0" fillId="0" borderId="0" xfId="0"/>
    <xf numFmtId="0" fontId="0" fillId="0" borderId="6" xfId="0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wrapText="1"/>
      <protection locked="0"/>
    </xf>
    <xf numFmtId="164" fontId="0" fillId="0" borderId="2" xfId="0" applyNumberFormat="1" applyBorder="1" applyAlignment="1" applyProtection="1">
      <alignment wrapText="1"/>
      <protection locked="0"/>
    </xf>
    <xf numFmtId="0" fontId="1" fillId="0" borderId="6" xfId="0" applyFont="1" applyBorder="1" applyAlignment="1" applyProtection="1">
      <alignment vertical="center" wrapText="1"/>
      <protection locked="0"/>
    </xf>
    <xf numFmtId="164" fontId="0" fillId="0" borderId="2" xfId="0" applyNumberFormat="1" applyBorder="1" applyAlignment="1" applyProtection="1">
      <alignment vertical="center" wrapText="1"/>
      <protection locked="0"/>
    </xf>
    <xf numFmtId="164" fontId="0" fillId="0" borderId="7" xfId="0" applyNumberFormat="1" applyBorder="1" applyAlignment="1" applyProtection="1">
      <alignment vertical="center" wrapText="1"/>
      <protection locked="0"/>
    </xf>
    <xf numFmtId="164" fontId="10" fillId="0" borderId="2" xfId="0" applyNumberFormat="1" applyFont="1" applyBorder="1" applyAlignment="1" applyProtection="1">
      <alignment vertical="center" wrapText="1"/>
      <protection locked="0"/>
    </xf>
    <xf numFmtId="164" fontId="10" fillId="0" borderId="7" xfId="0" applyNumberFormat="1" applyFont="1" applyBorder="1" applyAlignment="1" applyProtection="1">
      <alignment vertical="center" wrapText="1"/>
      <protection locked="0"/>
    </xf>
    <xf numFmtId="0" fontId="4" fillId="0" borderId="0" xfId="0" applyFont="1"/>
    <xf numFmtId="0" fontId="12" fillId="12" borderId="8" xfId="4" applyFont="1" applyFill="1" applyBorder="1" applyProtection="1"/>
    <xf numFmtId="0" fontId="6" fillId="0" borderId="0" xfId="0" applyFont="1"/>
    <xf numFmtId="0" fontId="12" fillId="12" borderId="4" xfId="4" applyFont="1" applyFill="1" applyBorder="1" applyAlignment="1" applyProtection="1">
      <alignment horizontal="center" vertical="center" wrapText="1"/>
    </xf>
    <xf numFmtId="164" fontId="12" fillId="12" borderId="5" xfId="4" applyNumberFormat="1" applyFont="1" applyFill="1" applyBorder="1" applyAlignment="1" applyProtection="1">
      <alignment horizontal="center" vertical="center" wrapText="1"/>
    </xf>
    <xf numFmtId="164" fontId="12" fillId="12" borderId="3" xfId="4" applyNumberFormat="1" applyFont="1" applyFill="1" applyBorder="1" applyAlignment="1" applyProtection="1">
      <alignment horizontal="center" vertical="center" wrapText="1"/>
    </xf>
    <xf numFmtId="0" fontId="2" fillId="8" borderId="1" xfId="6" applyFont="1" applyFill="1" applyBorder="1" applyAlignment="1" applyProtection="1">
      <alignment vertical="center" wrapText="1"/>
    </xf>
    <xf numFmtId="0" fontId="2" fillId="8" borderId="1" xfId="2" applyFont="1" applyFill="1" applyAlignment="1" applyProtection="1">
      <alignment vertical="center" wrapText="1"/>
    </xf>
    <xf numFmtId="164" fontId="7" fillId="8" borderId="1" xfId="2" applyNumberFormat="1" applyFill="1" applyAlignment="1" applyProtection="1">
      <alignment vertical="center" wrapText="1"/>
    </xf>
    <xf numFmtId="0" fontId="2" fillId="9" borderId="2" xfId="0" applyFont="1" applyFill="1" applyBorder="1" applyAlignment="1">
      <alignment vertical="center" wrapText="1"/>
    </xf>
    <xf numFmtId="0" fontId="2" fillId="8" borderId="10" xfId="2" applyFont="1" applyFill="1" applyBorder="1" applyAlignment="1" applyProtection="1">
      <alignment vertical="center" wrapText="1"/>
    </xf>
    <xf numFmtId="164" fontId="7" fillId="8" borderId="10" xfId="2" applyNumberFormat="1" applyFill="1" applyBorder="1" applyAlignment="1" applyProtection="1">
      <alignment vertical="center" wrapText="1"/>
    </xf>
    <xf numFmtId="0" fontId="2" fillId="9" borderId="6" xfId="3" applyFont="1" applyFill="1" applyBorder="1" applyAlignment="1" applyProtection="1">
      <alignment vertical="center" wrapText="1"/>
    </xf>
    <xf numFmtId="0" fontId="2" fillId="11" borderId="6" xfId="4" applyFont="1" applyFill="1" applyBorder="1" applyAlignment="1" applyProtection="1">
      <alignment vertical="center" wrapText="1"/>
    </xf>
    <xf numFmtId="0" fontId="12" fillId="12" borderId="1" xfId="5" applyFont="1" applyFill="1" applyBorder="1" applyAlignment="1" applyProtection="1">
      <alignment vertical="center" wrapText="1"/>
    </xf>
    <xf numFmtId="0" fontId="5" fillId="0" borderId="0" xfId="0" applyFont="1" applyAlignment="1">
      <alignment horizontal="left"/>
    </xf>
    <xf numFmtId="0" fontId="11" fillId="0" borderId="0" xfId="0" applyFont="1"/>
    <xf numFmtId="0" fontId="0" fillId="8" borderId="2" xfId="0" applyFill="1" applyBorder="1"/>
    <xf numFmtId="10" fontId="0" fillId="8" borderId="2" xfId="0" applyNumberFormat="1" applyFill="1" applyBorder="1" applyAlignment="1">
      <alignment wrapText="1"/>
    </xf>
    <xf numFmtId="0" fontId="0" fillId="0" borderId="0" xfId="0" applyProtection="1">
      <protection locked="0"/>
    </xf>
    <xf numFmtId="164" fontId="1" fillId="13" borderId="1" xfId="6" applyNumberFormat="1" applyFill="1" applyBorder="1" applyAlignment="1" applyProtection="1">
      <alignment vertical="center" wrapText="1"/>
    </xf>
    <xf numFmtId="0" fontId="17" fillId="0" borderId="0" xfId="0" applyFont="1" applyAlignment="1">
      <alignment vertical="top" wrapText="1"/>
    </xf>
    <xf numFmtId="164" fontId="0" fillId="8" borderId="2" xfId="9" applyNumberFormat="1" applyFont="1" applyFill="1" applyBorder="1" applyProtection="1"/>
    <xf numFmtId="164" fontId="1" fillId="0" borderId="2" xfId="0" applyNumberFormat="1" applyFont="1" applyBorder="1" applyAlignment="1" applyProtection="1">
      <alignment vertical="center" wrapText="1"/>
      <protection locked="0"/>
    </xf>
    <xf numFmtId="164" fontId="1" fillId="0" borderId="7" xfId="0" applyNumberFormat="1" applyFont="1" applyBorder="1" applyAlignment="1" applyProtection="1">
      <alignment vertical="center" wrapText="1"/>
      <protection locked="0"/>
    </xf>
    <xf numFmtId="0" fontId="2" fillId="0" borderId="6" xfId="0" applyFont="1" applyBorder="1" applyAlignment="1">
      <alignment vertical="center" wrapText="1"/>
    </xf>
    <xf numFmtId="164" fontId="0" fillId="0" borderId="2" xfId="0" applyNumberFormat="1" applyBorder="1" applyAlignment="1">
      <alignment vertical="center" wrapText="1"/>
    </xf>
    <xf numFmtId="164" fontId="0" fillId="0" borderId="7" xfId="0" applyNumberFormat="1" applyBorder="1" applyAlignment="1">
      <alignment vertical="center" wrapText="1"/>
    </xf>
    <xf numFmtId="0" fontId="1" fillId="0" borderId="0" xfId="0" applyFont="1"/>
    <xf numFmtId="164" fontId="2" fillId="9" borderId="2" xfId="0" applyNumberFormat="1" applyFont="1" applyFill="1" applyBorder="1" applyAlignment="1">
      <alignment vertical="center" wrapText="1"/>
    </xf>
    <xf numFmtId="164" fontId="2" fillId="9" borderId="2" xfId="3" applyNumberFormat="1" applyFont="1" applyFill="1" applyBorder="1" applyAlignment="1" applyProtection="1">
      <alignment vertical="center" wrapText="1"/>
    </xf>
    <xf numFmtId="164" fontId="2" fillId="8" borderId="1" xfId="6" applyNumberFormat="1" applyFont="1" applyFill="1" applyBorder="1" applyAlignment="1" applyProtection="1">
      <alignment vertical="center" wrapText="1"/>
    </xf>
    <xf numFmtId="164" fontId="2" fillId="11" borderId="2" xfId="4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vertical="top"/>
    </xf>
    <xf numFmtId="0" fontId="22" fillId="0" borderId="0" xfId="0" applyFont="1" applyAlignment="1">
      <alignment horizontal="justify" vertical="center"/>
    </xf>
    <xf numFmtId="0" fontId="0" fillId="8" borderId="2" xfId="0" applyFill="1" applyBorder="1" applyAlignment="1">
      <alignment vertical="center" wrapText="1"/>
    </xf>
    <xf numFmtId="0" fontId="24" fillId="0" borderId="0" xfId="0" applyFont="1"/>
    <xf numFmtId="164" fontId="18" fillId="11" borderId="7" xfId="4" applyNumberFormat="1" applyFont="1" applyFill="1" applyBorder="1" applyAlignment="1" applyProtection="1">
      <alignment vertical="center" wrapText="1"/>
    </xf>
    <xf numFmtId="164" fontId="23" fillId="12" borderId="1" xfId="5" applyNumberFormat="1" applyFont="1" applyFill="1" applyBorder="1" applyAlignment="1" applyProtection="1">
      <alignment vertical="center" wrapText="1"/>
    </xf>
    <xf numFmtId="0" fontId="0" fillId="0" borderId="11" xfId="0" applyBorder="1"/>
    <xf numFmtId="0" fontId="0" fillId="0" borderId="8" xfId="0" applyBorder="1"/>
    <xf numFmtId="0" fontId="9" fillId="0" borderId="3" xfId="0" applyFont="1" applyBorder="1" applyAlignment="1">
      <alignment horizontal="right" wrapText="1"/>
    </xf>
    <xf numFmtId="0" fontId="25" fillId="0" borderId="0" xfId="0" applyFont="1" applyAlignment="1">
      <alignment horizontal="center" vertical="center" wrapText="1"/>
    </xf>
    <xf numFmtId="0" fontId="19" fillId="10" borderId="0" xfId="8" applyNumberFormat="1" applyFont="1" applyAlignment="1" applyProtection="1">
      <alignment horizontal="left" vertical="top" wrapText="1"/>
    </xf>
    <xf numFmtId="0" fontId="19" fillId="10" borderId="0" xfId="8" applyFont="1" applyAlignment="1" applyProtection="1">
      <alignment horizontal="left" vertical="top" wrapText="1"/>
    </xf>
    <xf numFmtId="0" fontId="8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0" fillId="0" borderId="0" xfId="0" applyFont="1" applyAlignment="1">
      <alignment horizontal="right" vertical="center" wrapText="1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right" vertical="center" wrapText="1"/>
    </xf>
    <xf numFmtId="0" fontId="9" fillId="0" borderId="0" xfId="0" applyFont="1" applyAlignment="1">
      <alignment horizontal="left" vertical="center" wrapText="1"/>
    </xf>
    <xf numFmtId="0" fontId="26" fillId="10" borderId="0" xfId="8" applyFont="1" applyAlignment="1" applyProtection="1">
      <alignment horizontal="left" vertical="top" wrapText="1"/>
    </xf>
    <xf numFmtId="0" fontId="2" fillId="0" borderId="0" xfId="0" applyFont="1" applyAlignment="1">
      <alignment horizontal="right" vertical="center"/>
    </xf>
  </cellXfs>
  <cellStyles count="11">
    <cellStyle name="20% - Énfasis4" xfId="6" builtinId="42"/>
    <cellStyle name="40% - Énfasis4" xfId="8" builtinId="43"/>
    <cellStyle name="40% - Énfasis6" xfId="3" builtinId="51"/>
    <cellStyle name="Énfasis2" xfId="5" builtinId="33"/>
    <cellStyle name="Énfasis4" xfId="4" builtinId="41"/>
    <cellStyle name="Estil 1" xfId="7" xr:uid="{00000000-0005-0000-0000-000005000000}"/>
    <cellStyle name="Excel Built-in Output" xfId="10" xr:uid="{00000000-0005-0000-0000-000006000000}"/>
    <cellStyle name="Moneda" xfId="9" builtinId="4"/>
    <cellStyle name="Normal" xfId="0" builtinId="0"/>
    <cellStyle name="Normal 4" xfId="1" xr:uid="{00000000-0005-0000-0000-000009000000}"/>
    <cellStyle name="Salida" xfId="2" builtinId="21"/>
  </cellStyles>
  <dxfs count="21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center" textRotation="0" wrapText="1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rgb="FF573C7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4" formatCode="0.00%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E4DFE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Medium9"/>
  <colors>
    <mruColors>
      <color rgb="FFE4DFEC"/>
      <color rgb="FF573C74"/>
      <color rgb="FF5B3F79"/>
      <color rgb="FF51386C"/>
      <color rgb="FF442F5B"/>
      <color rgb="FF5F427E"/>
      <color rgb="FF4C358B"/>
      <color rgb="FF57437D"/>
      <color rgb="FF574375"/>
      <color rgb="FF644D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8467</xdr:colOff>
      <xdr:row>0</xdr:row>
      <xdr:rowOff>25400</xdr:rowOff>
    </xdr:from>
    <xdr:to>
      <xdr:col>0</xdr:col>
      <xdr:colOff>2381251</xdr:colOff>
      <xdr:row>2</xdr:row>
      <xdr:rowOff>0</xdr:rowOff>
    </xdr:to>
    <xdr:pic>
      <xdr:nvPicPr>
        <xdr:cNvPr id="2" name="Imatge 1">
          <a:extLst>
            <a:ext uri="{FF2B5EF4-FFF2-40B4-BE49-F238E27FC236}">
              <a16:creationId xmlns:a16="http://schemas.microsoft.com/office/drawing/2014/main" id="{21BCD348-4839-427B-966B-E2A829BB9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7" y="25400"/>
          <a:ext cx="2372784" cy="618067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adesbasiques" displayName="Dadesbasiques" ref="A9:C15" headerRowCount="0" headerRowDxfId="20" dataDxfId="19" totalsRowDxfId="17" tableBorderDxfId="18" totalsRowBorderDxfId="16">
  <tableColumns count="3">
    <tableColumn id="1" xr3:uid="{00000000-0010-0000-0000-000001000000}" name="Columna2" totalsRowLabel="Període d’execució del projecte subvencionat" headerRowDxfId="15" dataDxfId="14"/>
    <tableColumn id="2" xr3:uid="{00000000-0010-0000-0000-000002000000}" name="Columna1" headerRowDxfId="13" dataDxfId="12" totalsRowDxfId="11">
      <calculatedColumnFormula>($B$13/$B$12)</calculatedColumnFormula>
    </tableColumn>
    <tableColumn id="3" xr3:uid="{00000000-0010-0000-0000-000003000000}" name="Columna3" headerRowDxfId="10" dataDxfId="9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espesesProjecte" displayName="DespesesProjecte" ref="A18:D91" headerRowDxfId="8" dataDxfId="6" totalsRowDxfId="4" headerRowBorderDxfId="7" tableBorderDxfId="5">
  <tableColumns count="4">
    <tableColumn id="1" xr3:uid="{00000000-0010-0000-0100-000001000000}" name="Partides" totalsRowLabel="Total" dataDxfId="3"/>
    <tableColumn id="6" xr3:uid="{00000000-0010-0000-0100-000006000000}" name="Import imputable a la subvenció municipal" dataDxfId="2"/>
    <tableColumn id="7" xr3:uid="{00000000-0010-0000-0100-000007000000}" name="Import de l'aportació / Cofinançament de l'entitat" totalsRowFunction="count" dataDxfId="1"/>
    <tableColumn id="5" xr3:uid="{00000000-0010-0000-0100-000005000000}" name="Import total del projec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16"/>
  <sheetViews>
    <sheetView showGridLines="0" tabSelected="1" zoomScale="90" zoomScaleNormal="90" zoomScaleSheetLayoutView="80" workbookViewId="0">
      <pane ySplit="7" topLeftCell="A56" activePane="bottomLeft" state="frozen"/>
      <selection pane="bottomLeft" activeCell="B11" sqref="B11"/>
    </sheetView>
  </sheetViews>
  <sheetFormatPr baseColWidth="10" defaultColWidth="9.1015625" defaultRowHeight="14.4" x14ac:dyDescent="0.55000000000000004"/>
  <cols>
    <col min="1" max="1" width="55.89453125" customWidth="1"/>
    <col min="2" max="2" width="56.7890625" customWidth="1"/>
    <col min="3" max="3" width="39.68359375" customWidth="1"/>
    <col min="4" max="4" width="38" customWidth="1"/>
    <col min="5" max="5" width="1.5234375" customWidth="1"/>
    <col min="6" max="6" width="1.3125" customWidth="1"/>
    <col min="7" max="7" width="3" customWidth="1"/>
    <col min="8" max="8" width="3.3125" customWidth="1"/>
  </cols>
  <sheetData>
    <row r="1" spans="1:9" ht="25.8" customHeight="1" x14ac:dyDescent="1.05">
      <c r="A1" s="10"/>
      <c r="B1" s="10"/>
      <c r="C1" s="10"/>
      <c r="D1" s="55" t="s">
        <v>4</v>
      </c>
      <c r="E1" s="55"/>
      <c r="F1" s="55"/>
    </row>
    <row r="2" spans="1:9" ht="24.6" customHeight="1" x14ac:dyDescent="0.7">
      <c r="C2" s="56" t="s">
        <v>24</v>
      </c>
      <c r="D2" s="56"/>
      <c r="E2" s="56"/>
      <c r="F2" s="56"/>
    </row>
    <row r="3" spans="1:9" ht="23.25" customHeight="1" x14ac:dyDescent="0.6">
      <c r="A3" s="59" t="s">
        <v>50</v>
      </c>
      <c r="B3" s="59"/>
      <c r="C3" s="60" t="s">
        <v>48</v>
      </c>
      <c r="D3" s="60"/>
      <c r="E3" s="60"/>
      <c r="F3" s="60"/>
      <c r="G3" s="26"/>
    </row>
    <row r="4" spans="1:9" ht="113.4" customHeight="1" x14ac:dyDescent="0.6">
      <c r="A4" s="59"/>
      <c r="B4" s="59"/>
      <c r="C4" s="60"/>
      <c r="D4" s="60"/>
      <c r="E4" s="60"/>
      <c r="F4" s="60"/>
      <c r="G4" s="26"/>
      <c r="I4" s="46"/>
    </row>
    <row r="5" spans="1:9" ht="15.6" x14ac:dyDescent="0.55000000000000004">
      <c r="A5" s="43"/>
      <c r="B5" s="43"/>
      <c r="C5" s="57" t="s">
        <v>18</v>
      </c>
      <c r="D5" s="57"/>
      <c r="E5" s="57"/>
      <c r="F5" s="57"/>
    </row>
    <row r="6" spans="1:9" x14ac:dyDescent="0.55000000000000004">
      <c r="A6" s="43"/>
      <c r="C6" s="63" t="s">
        <v>23</v>
      </c>
      <c r="D6" s="63"/>
      <c r="E6" s="63"/>
      <c r="F6" s="63"/>
    </row>
    <row r="7" spans="1:9" ht="27" customHeight="1" x14ac:dyDescent="0.85">
      <c r="H7" s="25"/>
    </row>
    <row r="8" spans="1:9" ht="16.8" x14ac:dyDescent="0.65">
      <c r="A8" s="11" t="s">
        <v>0</v>
      </c>
    </row>
    <row r="9" spans="1:9" ht="13.8" customHeight="1" x14ac:dyDescent="0.55000000000000004">
      <c r="A9" s="27" t="s">
        <v>20</v>
      </c>
      <c r="B9" s="3" t="s">
        <v>62</v>
      </c>
      <c r="C9" s="50"/>
      <c r="F9" t="s">
        <v>7</v>
      </c>
    </row>
    <row r="10" spans="1:9" hidden="1" x14ac:dyDescent="0.55000000000000004">
      <c r="A10" s="27" t="s">
        <v>21</v>
      </c>
      <c r="B10" s="3"/>
      <c r="C10" s="49"/>
    </row>
    <row r="11" spans="1:9" x14ac:dyDescent="0.55000000000000004">
      <c r="A11" s="27" t="s">
        <v>10</v>
      </c>
      <c r="B11" s="3" t="s">
        <v>63</v>
      </c>
      <c r="C11" s="49"/>
    </row>
    <row r="12" spans="1:9" x14ac:dyDescent="0.55000000000000004">
      <c r="A12" s="27" t="s">
        <v>11</v>
      </c>
      <c r="B12" s="4">
        <v>11500</v>
      </c>
      <c r="C12" s="49"/>
    </row>
    <row r="13" spans="1:9" x14ac:dyDescent="0.55000000000000004">
      <c r="A13" s="27" t="s">
        <v>3</v>
      </c>
      <c r="B13" s="4">
        <v>9000</v>
      </c>
      <c r="C13" s="49"/>
    </row>
    <row r="14" spans="1:9" x14ac:dyDescent="0.55000000000000004">
      <c r="A14" s="27" t="s">
        <v>22</v>
      </c>
      <c r="B14" s="32">
        <f>+B12-B13</f>
        <v>2500</v>
      </c>
      <c r="C14" s="49"/>
    </row>
    <row r="15" spans="1:9" ht="43.8" customHeight="1" x14ac:dyDescent="0.55000000000000004">
      <c r="A15" s="45" t="s">
        <v>12</v>
      </c>
      <c r="B15" s="28">
        <f>B13/B12</f>
        <v>0.78260869565217395</v>
      </c>
      <c r="C15" s="51" t="s">
        <v>52</v>
      </c>
      <c r="I15" s="46"/>
    </row>
    <row r="17" spans="1:4" ht="18.3" x14ac:dyDescent="0.7">
      <c r="A17" s="12" t="s">
        <v>9</v>
      </c>
    </row>
    <row r="18" spans="1:4" ht="33.6" x14ac:dyDescent="0.55000000000000004">
      <c r="A18" s="13" t="s">
        <v>6</v>
      </c>
      <c r="B18" s="14" t="s">
        <v>3</v>
      </c>
      <c r="C18" s="15" t="s">
        <v>5</v>
      </c>
      <c r="D18" s="14" t="s">
        <v>2</v>
      </c>
    </row>
    <row r="19" spans="1:4" ht="43.2" x14ac:dyDescent="0.55000000000000004">
      <c r="A19" s="16" t="s">
        <v>45</v>
      </c>
      <c r="B19" s="41">
        <f>SUM(B20:B23)</f>
        <v>2250</v>
      </c>
      <c r="C19" s="41">
        <v>1000</v>
      </c>
      <c r="D19" s="41">
        <f>SUM(DespesesProjecte[[#This Row],[Import imputable a la subvenció municipal]],DespesesProjecte[[#This Row],[Import de l''aportació / Cofinançament de l''entitat]])</f>
        <v>3250</v>
      </c>
    </row>
    <row r="20" spans="1:4" x14ac:dyDescent="0.55000000000000004">
      <c r="A20" s="1" t="s">
        <v>64</v>
      </c>
      <c r="B20" s="6">
        <v>1000</v>
      </c>
      <c r="C20" s="7"/>
      <c r="D20" s="30">
        <f>SUM(DespesesProjecte[[#This Row],[Import imputable a la subvenció municipal]],DespesesProjecte[[#This Row],[Import de l''aportació / Cofinançament de l''entitat]])</f>
        <v>1000</v>
      </c>
    </row>
    <row r="21" spans="1:4" x14ac:dyDescent="0.55000000000000004">
      <c r="A21" s="1" t="s">
        <v>65</v>
      </c>
      <c r="B21" s="6">
        <v>650</v>
      </c>
      <c r="C21" s="7"/>
      <c r="D21" s="30">
        <f>SUM(DespesesProjecte[[#This Row],[Import imputable a la subvenció municipal]],DespesesProjecte[[#This Row],[Import de l''aportació / Cofinançament de l''entitat]])</f>
        <v>650</v>
      </c>
    </row>
    <row r="22" spans="1:4" x14ac:dyDescent="0.55000000000000004">
      <c r="A22" s="1" t="s">
        <v>66</v>
      </c>
      <c r="B22" s="6">
        <v>600</v>
      </c>
      <c r="C22" s="7"/>
      <c r="D22" s="30">
        <f>SUM(DespesesProjecte[[#This Row],[Import imputable a la subvenció municipal]],DespesesProjecte[[#This Row],[Import de l''aportació / Cofinançament de l''entitat]])</f>
        <v>600</v>
      </c>
    </row>
    <row r="23" spans="1:4" x14ac:dyDescent="0.55000000000000004">
      <c r="A23" s="1"/>
      <c r="B23" s="6"/>
      <c r="C23" s="7"/>
      <c r="D23" s="30">
        <f>SUM(DespesesProjecte[[#This Row],[Import imputable a la subvenció municipal]],DespesesProjecte[[#This Row],[Import de l''aportació / Cofinançament de l''entitat]])</f>
        <v>0</v>
      </c>
    </row>
    <row r="24" spans="1:4" x14ac:dyDescent="0.55000000000000004">
      <c r="A24" s="19" t="s">
        <v>36</v>
      </c>
      <c r="B24" s="40">
        <f>B19</f>
        <v>2250</v>
      </c>
      <c r="C24" s="39">
        <f>C19</f>
        <v>1000</v>
      </c>
      <c r="D24" s="39">
        <f>D19</f>
        <v>3250</v>
      </c>
    </row>
    <row r="25" spans="1:4" ht="43.2" x14ac:dyDescent="0.55000000000000004">
      <c r="A25" s="20" t="s">
        <v>37</v>
      </c>
      <c r="B25" s="21">
        <f>SUM(B26:B29)</f>
        <v>0</v>
      </c>
      <c r="C25" s="21">
        <f>SUM(C26:C29)</f>
        <v>0</v>
      </c>
      <c r="D25" s="41">
        <f>SUM(DespesesProjecte[[#This Row],[Import imputable a la subvenció municipal]],DespesesProjecte[[#This Row],[Import de l''aportació / Cofinançament de l''entitat]])</f>
        <v>0</v>
      </c>
    </row>
    <row r="26" spans="1:4" x14ac:dyDescent="0.55000000000000004">
      <c r="A26" s="2"/>
      <c r="B26" s="6"/>
      <c r="C26" s="7"/>
      <c r="D26" s="30">
        <f>SUM(DespesesProjecte[[#This Row],[Import imputable a la subvenció municipal]],DespesesProjecte[[#This Row],[Import de l''aportació / Cofinançament de l''entitat]])</f>
        <v>0</v>
      </c>
    </row>
    <row r="27" spans="1:4" x14ac:dyDescent="0.55000000000000004">
      <c r="A27" s="2"/>
      <c r="B27" s="33"/>
      <c r="C27" s="34"/>
      <c r="D27" s="30">
        <f>SUM(DespesesProjecte[[#This Row],[Import imputable a la subvenció municipal]],DespesesProjecte[[#This Row],[Import de l''aportació / Cofinançament de l''entitat]])</f>
        <v>0</v>
      </c>
    </row>
    <row r="28" spans="1:4" x14ac:dyDescent="0.55000000000000004">
      <c r="A28" s="2"/>
      <c r="B28" s="36"/>
      <c r="C28" s="37"/>
      <c r="D28" s="30">
        <f>SUM(DespesesProjecte[[#This Row],[Import imputable a la subvenció municipal]],DespesesProjecte[[#This Row],[Import de l''aportació / Cofinançament de l''entitat]])</f>
        <v>0</v>
      </c>
    </row>
    <row r="29" spans="1:4" x14ac:dyDescent="0.55000000000000004">
      <c r="A29" s="2"/>
      <c r="B29" s="36"/>
      <c r="C29" s="37"/>
      <c r="D29" s="30">
        <f>SUM(DespesesProjecte[[#This Row],[Import imputable a la subvenció municipal]],DespesesProjecte[[#This Row],[Import de l''aportació / Cofinançament de l''entitat]])</f>
        <v>0</v>
      </c>
    </row>
    <row r="30" spans="1:4" ht="63.6" customHeight="1" x14ac:dyDescent="0.55000000000000004">
      <c r="A30" s="17" t="s">
        <v>39</v>
      </c>
      <c r="B30" s="18">
        <v>5850</v>
      </c>
      <c r="C30" s="18">
        <v>1000</v>
      </c>
      <c r="D30" s="30">
        <f>SUM(DespesesProjecte[[#This Row],[Import imputable a la subvenció municipal]],DespesesProjecte[[#This Row],[Import de l''aportació / Cofinançament de l''entitat]])</f>
        <v>6850</v>
      </c>
    </row>
    <row r="31" spans="1:4" x14ac:dyDescent="0.55000000000000004">
      <c r="A31" s="35"/>
      <c r="B31" s="36"/>
      <c r="C31" s="37"/>
      <c r="D31" s="30">
        <f>SUM(DespesesProjecte[[#This Row],[Import imputable a la subvenció municipal]],DespesesProjecte[[#This Row],[Import de l''aportació / Cofinançament de l''entitat]])</f>
        <v>0</v>
      </c>
    </row>
    <row r="32" spans="1:4" x14ac:dyDescent="0.55000000000000004">
      <c r="A32" s="2"/>
      <c r="B32" s="8"/>
      <c r="C32" s="9"/>
      <c r="D32" s="30">
        <f>SUM(DespesesProjecte[[#This Row],[Import imputable a la subvenció municipal]],DespesesProjecte[[#This Row],[Import de l''aportació / Cofinançament de l''entitat]])</f>
        <v>0</v>
      </c>
    </row>
    <row r="33" spans="1:4" x14ac:dyDescent="0.55000000000000004">
      <c r="A33" s="2"/>
      <c r="B33" s="8"/>
      <c r="C33" s="9"/>
      <c r="D33" s="30">
        <f>SUM(DespesesProjecte[[#This Row],[Import imputable a la subvenció municipal]],DespesesProjecte[[#This Row],[Import de l''aportació / Cofinançament de l''entitat]])</f>
        <v>0</v>
      </c>
    </row>
    <row r="34" spans="1:4" ht="43.2" x14ac:dyDescent="0.55000000000000004">
      <c r="A34" s="20" t="s">
        <v>51</v>
      </c>
      <c r="B34" s="21">
        <f>SUM(B35:B37)</f>
        <v>0</v>
      </c>
      <c r="C34" s="21">
        <f>SUM(C35:C37)</f>
        <v>0</v>
      </c>
      <c r="D34" s="41">
        <f>SUM(DespesesProjecte[[#This Row],[Import imputable a la subvenció municipal]],DespesesProjecte[[#This Row],[Import de l''aportació / Cofinançament de l''entitat]])</f>
        <v>0</v>
      </c>
    </row>
    <row r="35" spans="1:4" ht="14.4" customHeight="1" x14ac:dyDescent="0.55000000000000004">
      <c r="A35" s="2"/>
      <c r="B35" s="36"/>
      <c r="C35" s="37"/>
      <c r="D35" s="30">
        <f>SUM(DespesesProjecte[[#This Row],[Import imputable a la subvenció municipal]],DespesesProjecte[[#This Row],[Import de l''aportació / Cofinançament de l''entitat]])</f>
        <v>0</v>
      </c>
    </row>
    <row r="36" spans="1:4" x14ac:dyDescent="0.55000000000000004">
      <c r="A36" s="2"/>
      <c r="B36" s="36"/>
      <c r="C36" s="37"/>
      <c r="D36" s="30">
        <f>SUM(DespesesProjecte[[#This Row],[Import imputable a la subvenció municipal]],DespesesProjecte[[#This Row],[Import de l''aportació / Cofinançament de l''entitat]])</f>
        <v>0</v>
      </c>
    </row>
    <row r="37" spans="1:4" ht="14.4" customHeight="1" x14ac:dyDescent="0.55000000000000004">
      <c r="A37" s="2"/>
      <c r="B37" s="36"/>
      <c r="C37" s="37"/>
      <c r="D37" s="30">
        <f>SUM(DespesesProjecte[[#This Row],[Import imputable a la subvenció municipal]],DespesesProjecte[[#This Row],[Import de l''aportació / Cofinançament de l''entitat]])</f>
        <v>0</v>
      </c>
    </row>
    <row r="38" spans="1:4" ht="19.5" customHeight="1" x14ac:dyDescent="0.55000000000000004">
      <c r="A38" s="22" t="s">
        <v>8</v>
      </c>
      <c r="B38" s="40">
        <f>B25+B30+B34</f>
        <v>5850</v>
      </c>
      <c r="C38" s="40">
        <f>C25+C30+C34</f>
        <v>1000</v>
      </c>
      <c r="D38" s="40">
        <f>D25+D30+D34</f>
        <v>6850</v>
      </c>
    </row>
    <row r="39" spans="1:4" ht="28.8" x14ac:dyDescent="0.55000000000000004">
      <c r="A39" s="23" t="s">
        <v>17</v>
      </c>
      <c r="B39" s="42">
        <f>B24+B38</f>
        <v>8100</v>
      </c>
      <c r="C39" s="42">
        <f>C24+C38</f>
        <v>2000</v>
      </c>
      <c r="D39" s="42">
        <f>D24+D38</f>
        <v>10100</v>
      </c>
    </row>
    <row r="40" spans="1:4" x14ac:dyDescent="0.55000000000000004">
      <c r="A40" s="17" t="s">
        <v>26</v>
      </c>
      <c r="B40" s="18">
        <f>SUM(B41:B44)</f>
        <v>0</v>
      </c>
      <c r="C40" s="18">
        <f>SUM(C41:C44)</f>
        <v>0</v>
      </c>
      <c r="D40" s="21">
        <f>SUM(DespesesProjecte[[#This Row],[Import imputable a la subvenció municipal]],DespesesProjecte[[#This Row],[Import de l''aportació / Cofinançament de l''entitat]])</f>
        <v>0</v>
      </c>
    </row>
    <row r="41" spans="1:4" ht="14.25" customHeight="1" x14ac:dyDescent="0.55000000000000004">
      <c r="A41" s="2"/>
      <c r="B41" s="33"/>
      <c r="C41" s="34"/>
      <c r="D41" s="30">
        <f>SUM(DespesesProjecte[[#This Row],[Import imputable a la subvenció municipal]],DespesesProjecte[[#This Row],[Import de l''aportació / Cofinançament de l''entitat]])</f>
        <v>0</v>
      </c>
    </row>
    <row r="42" spans="1:4" ht="14.25" customHeight="1" x14ac:dyDescent="0.55000000000000004">
      <c r="A42" s="2"/>
      <c r="B42" s="33"/>
      <c r="C42" s="34"/>
      <c r="D42" s="30">
        <f>SUM(DespesesProjecte[[#This Row],[Import imputable a la subvenció municipal]],DespesesProjecte[[#This Row],[Import de l''aportació / Cofinançament de l''entitat]])</f>
        <v>0</v>
      </c>
    </row>
    <row r="43" spans="1:4" ht="14.25" customHeight="1" x14ac:dyDescent="0.55000000000000004">
      <c r="A43" s="2"/>
      <c r="B43" s="33"/>
      <c r="C43" s="34"/>
      <c r="D43" s="30">
        <f>SUM(DespesesProjecte[[#This Row],[Import imputable a la subvenció municipal]],DespesesProjecte[[#This Row],[Import de l''aportació / Cofinançament de l''entitat]])</f>
        <v>0</v>
      </c>
    </row>
    <row r="44" spans="1:4" ht="14.25" customHeight="1" x14ac:dyDescent="0.55000000000000004">
      <c r="A44" s="2"/>
      <c r="B44" s="33"/>
      <c r="C44" s="34"/>
      <c r="D44" s="30">
        <f>SUM(DespesesProjecte[[#This Row],[Import imputable a la subvenció municipal]],DespesesProjecte[[#This Row],[Import de l''aportació / Cofinançament de l''entitat]])</f>
        <v>0</v>
      </c>
    </row>
    <row r="45" spans="1:4" x14ac:dyDescent="0.55000000000000004">
      <c r="A45" s="17" t="s">
        <v>27</v>
      </c>
      <c r="B45" s="18">
        <v>200</v>
      </c>
      <c r="C45" s="18">
        <v>100</v>
      </c>
      <c r="D45" s="21">
        <f>SUM(DespesesProjecte[[#This Row],[Import imputable a la subvenció municipal]],DespesesProjecte[[#This Row],[Import de l''aportació / Cofinançament de l''entitat]])</f>
        <v>300</v>
      </c>
    </row>
    <row r="46" spans="1:4" x14ac:dyDescent="0.55000000000000004">
      <c r="A46" s="5"/>
      <c r="B46" s="6"/>
      <c r="C46" s="7"/>
      <c r="D46" s="30">
        <f>SUM(DespesesProjecte[[#This Row],[Import imputable a la subvenció municipal]],DespesesProjecte[[#This Row],[Import de l''aportació / Cofinançament de l''entitat]])</f>
        <v>0</v>
      </c>
    </row>
    <row r="47" spans="1:4" x14ac:dyDescent="0.55000000000000004">
      <c r="A47" s="5"/>
      <c r="B47" s="6"/>
      <c r="C47" s="7"/>
      <c r="D47" s="30">
        <f>SUM(DespesesProjecte[[#This Row],[Import imputable a la subvenció municipal]],DespesesProjecte[[#This Row],[Import de l''aportació / Cofinançament de l''entitat]])</f>
        <v>0</v>
      </c>
    </row>
    <row r="48" spans="1:4" x14ac:dyDescent="0.55000000000000004">
      <c r="A48" s="5"/>
      <c r="B48" s="6"/>
      <c r="C48" s="7"/>
      <c r="D48" s="30">
        <f>SUM(DespesesProjecte[[#This Row],[Import imputable a la subvenció municipal]],DespesesProjecte[[#This Row],[Import de l''aportació / Cofinançament de l''entitat]])</f>
        <v>0</v>
      </c>
    </row>
    <row r="49" spans="1:4" x14ac:dyDescent="0.55000000000000004">
      <c r="A49" s="5"/>
      <c r="B49" s="6"/>
      <c r="C49" s="7"/>
      <c r="D49" s="30">
        <f>SUM(DespesesProjecte[[#This Row],[Import imputable a la subvenció municipal]],DespesesProjecte[[#This Row],[Import de l''aportació / Cofinançament de l''entitat]])</f>
        <v>0</v>
      </c>
    </row>
    <row r="50" spans="1:4" x14ac:dyDescent="0.55000000000000004">
      <c r="A50" s="17" t="s">
        <v>28</v>
      </c>
      <c r="B50" s="18">
        <f>SUM(B51:B54)</f>
        <v>0</v>
      </c>
      <c r="C50" s="18">
        <f>SUM(C51:C54)</f>
        <v>0</v>
      </c>
      <c r="D50" s="21">
        <f>SUM(DespesesProjecte[[#This Row],[Import imputable a la subvenció municipal]],DespesesProjecte[[#This Row],[Import de l''aportació / Cofinançament de l''entitat]])</f>
        <v>0</v>
      </c>
    </row>
    <row r="51" spans="1:4" x14ac:dyDescent="0.55000000000000004">
      <c r="A51" s="5"/>
      <c r="B51" s="6"/>
      <c r="C51" s="7"/>
      <c r="D51" s="30">
        <f>SUM(DespesesProjecte[[#This Row],[Import imputable a la subvenció municipal]],DespesesProjecte[[#This Row],[Import de l''aportació / Cofinançament de l''entitat]])</f>
        <v>0</v>
      </c>
    </row>
    <row r="52" spans="1:4" x14ac:dyDescent="0.55000000000000004">
      <c r="A52" s="5"/>
      <c r="B52" s="6"/>
      <c r="C52" s="7"/>
      <c r="D52" s="30">
        <f>SUM(DespesesProjecte[[#This Row],[Import imputable a la subvenció municipal]],DespesesProjecte[[#This Row],[Import de l''aportació / Cofinançament de l''entitat]])</f>
        <v>0</v>
      </c>
    </row>
    <row r="53" spans="1:4" x14ac:dyDescent="0.55000000000000004">
      <c r="A53" s="5"/>
      <c r="B53" s="6"/>
      <c r="C53" s="7"/>
      <c r="D53" s="30">
        <f>SUM(DespesesProjecte[[#This Row],[Import imputable a la subvenció municipal]],DespesesProjecte[[#This Row],[Import de l''aportació / Cofinançament de l''entitat]])</f>
        <v>0</v>
      </c>
    </row>
    <row r="54" spans="1:4" x14ac:dyDescent="0.55000000000000004">
      <c r="A54" s="5"/>
      <c r="B54" s="6"/>
      <c r="C54" s="7"/>
      <c r="D54" s="30">
        <f>SUM(DespesesProjecte[[#This Row],[Import imputable a la subvenció municipal]],DespesesProjecte[[#This Row],[Import de l''aportació / Cofinançament de l''entitat]])</f>
        <v>0</v>
      </c>
    </row>
    <row r="55" spans="1:4" x14ac:dyDescent="0.55000000000000004">
      <c r="A55" s="17" t="s">
        <v>29</v>
      </c>
      <c r="B55" s="18">
        <v>300</v>
      </c>
      <c r="C55" s="18">
        <v>200</v>
      </c>
      <c r="D55" s="21">
        <f>SUM(DespesesProjecte[[#This Row],[Import imputable a la subvenció municipal]],DespesesProjecte[[#This Row],[Import de l''aportació / Cofinançament de l''entitat]])</f>
        <v>500</v>
      </c>
    </row>
    <row r="56" spans="1:4" x14ac:dyDescent="0.55000000000000004">
      <c r="A56" s="5"/>
      <c r="B56" s="6"/>
      <c r="C56" s="7"/>
      <c r="D56" s="30">
        <f>SUM(DespesesProjecte[[#This Row],[Import imputable a la subvenció municipal]],DespesesProjecte[[#This Row],[Import de l''aportació / Cofinançament de l''entitat]])</f>
        <v>0</v>
      </c>
    </row>
    <row r="57" spans="1:4" x14ac:dyDescent="0.55000000000000004">
      <c r="A57" s="5"/>
      <c r="B57" s="6"/>
      <c r="C57" s="7"/>
      <c r="D57" s="30">
        <f>SUM(DespesesProjecte[[#This Row],[Import imputable a la subvenció municipal]],DespesesProjecte[[#This Row],[Import de l''aportació / Cofinançament de l''entitat]])</f>
        <v>0</v>
      </c>
    </row>
    <row r="58" spans="1:4" x14ac:dyDescent="0.55000000000000004">
      <c r="A58" s="5"/>
      <c r="B58" s="6"/>
      <c r="C58" s="7"/>
      <c r="D58" s="30">
        <f>SUM(DespesesProjecte[[#This Row],[Import imputable a la subvenció municipal]],DespesesProjecte[[#This Row],[Import de l''aportació / Cofinançament de l''entitat]])</f>
        <v>0</v>
      </c>
    </row>
    <row r="59" spans="1:4" x14ac:dyDescent="0.55000000000000004">
      <c r="A59" s="5"/>
      <c r="B59" s="6"/>
      <c r="C59" s="7"/>
      <c r="D59" s="30">
        <f>SUM(DespesesProjecte[[#This Row],[Import imputable a la subvenció municipal]],DespesesProjecte[[#This Row],[Import de l''aportació / Cofinançament de l''entitat]])</f>
        <v>0</v>
      </c>
    </row>
    <row r="60" spans="1:4" ht="26.4" customHeight="1" x14ac:dyDescent="0.55000000000000004">
      <c r="A60" s="17" t="s">
        <v>30</v>
      </c>
      <c r="B60" s="18">
        <f>SUM(B61:B64)</f>
        <v>0</v>
      </c>
      <c r="C60" s="18">
        <f>SUM(C61:C64)</f>
        <v>0</v>
      </c>
      <c r="D60" s="21">
        <f>SUM(DespesesProjecte[[#This Row],[Import imputable a la subvenció municipal]],DespesesProjecte[[#This Row],[Import de l''aportació / Cofinançament de l''entitat]])</f>
        <v>0</v>
      </c>
    </row>
    <row r="61" spans="1:4" x14ac:dyDescent="0.55000000000000004">
      <c r="A61" s="5"/>
      <c r="B61" s="6"/>
      <c r="C61" s="7"/>
      <c r="D61" s="30">
        <f>SUM(DespesesProjecte[[#This Row],[Import imputable a la subvenció municipal]],DespesesProjecte[[#This Row],[Import de l''aportació / Cofinançament de l''entitat]])</f>
        <v>0</v>
      </c>
    </row>
    <row r="62" spans="1:4" x14ac:dyDescent="0.55000000000000004">
      <c r="A62" s="5"/>
      <c r="B62" s="6"/>
      <c r="C62" s="7"/>
      <c r="D62" s="30">
        <f>SUM(DespesesProjecte[[#This Row],[Import imputable a la subvenció municipal]],DespesesProjecte[[#This Row],[Import de l''aportació / Cofinançament de l''entitat]])</f>
        <v>0</v>
      </c>
    </row>
    <row r="63" spans="1:4" x14ac:dyDescent="0.55000000000000004">
      <c r="A63" s="5"/>
      <c r="B63" s="6"/>
      <c r="C63" s="7"/>
      <c r="D63" s="30">
        <f>SUM(DespesesProjecte[[#This Row],[Import imputable a la subvenció municipal]],DespesesProjecte[[#This Row],[Import de l''aportació / Cofinançament de l''entitat]])</f>
        <v>0</v>
      </c>
    </row>
    <row r="64" spans="1:4" x14ac:dyDescent="0.55000000000000004">
      <c r="A64" s="5"/>
      <c r="B64" s="6"/>
      <c r="C64" s="7"/>
      <c r="D64" s="30">
        <f>SUM(DespesesProjecte[[#This Row],[Import imputable a la subvenció municipal]],DespesesProjecte[[#This Row],[Import de l''aportació / Cofinançament de l''entitat]])</f>
        <v>0</v>
      </c>
    </row>
    <row r="65" spans="1:4" ht="14.4" customHeight="1" x14ac:dyDescent="0.55000000000000004">
      <c r="A65" s="17" t="s">
        <v>31</v>
      </c>
      <c r="B65" s="18">
        <v>100</v>
      </c>
      <c r="C65" s="18">
        <f>SUM(C66:C69)</f>
        <v>0</v>
      </c>
      <c r="D65" s="21">
        <f>SUM(DespesesProjecte[[#This Row],[Import imputable a la subvenció municipal]],DespesesProjecte[[#This Row],[Import de l''aportació / Cofinançament de l''entitat]])</f>
        <v>100</v>
      </c>
    </row>
    <row r="66" spans="1:4" x14ac:dyDescent="0.55000000000000004">
      <c r="A66" s="5"/>
      <c r="B66" s="6"/>
      <c r="C66" s="7"/>
      <c r="D66" s="30">
        <f>SUM(DespesesProjecte[[#This Row],[Import imputable a la subvenció municipal]],DespesesProjecte[[#This Row],[Import de l''aportació / Cofinançament de l''entitat]])</f>
        <v>0</v>
      </c>
    </row>
    <row r="67" spans="1:4" x14ac:dyDescent="0.55000000000000004">
      <c r="A67" s="5"/>
      <c r="B67" s="6"/>
      <c r="C67" s="7"/>
      <c r="D67" s="30">
        <f>SUM(DespesesProjecte[[#This Row],[Import imputable a la subvenció municipal]],DespesesProjecte[[#This Row],[Import de l''aportació / Cofinançament de l''entitat]])</f>
        <v>0</v>
      </c>
    </row>
    <row r="68" spans="1:4" x14ac:dyDescent="0.55000000000000004">
      <c r="A68" s="5"/>
      <c r="B68" s="6"/>
      <c r="C68" s="7"/>
      <c r="D68" s="30">
        <f>SUM(DespesesProjecte[[#This Row],[Import imputable a la subvenció municipal]],DespesesProjecte[[#This Row],[Import de l''aportació / Cofinançament de l''entitat]])</f>
        <v>0</v>
      </c>
    </row>
    <row r="69" spans="1:4" x14ac:dyDescent="0.55000000000000004">
      <c r="A69" s="5"/>
      <c r="B69" s="6"/>
      <c r="C69" s="7"/>
      <c r="D69" s="30">
        <f>SUM(DespesesProjecte[[#This Row],[Import imputable a la subvenció municipal]],DespesesProjecte[[#This Row],[Import de l''aportació / Cofinançament de l''entitat]])</f>
        <v>0</v>
      </c>
    </row>
    <row r="70" spans="1:4" ht="21.6" customHeight="1" x14ac:dyDescent="0.55000000000000004">
      <c r="A70" s="17" t="s">
        <v>32</v>
      </c>
      <c r="B70" s="18">
        <v>100</v>
      </c>
      <c r="C70" s="18">
        <v>100</v>
      </c>
      <c r="D70" s="21">
        <f>SUM(DespesesProjecte[[#This Row],[Import imputable a la subvenció municipal]],DespesesProjecte[[#This Row],[Import de l''aportació / Cofinançament de l''entitat]])</f>
        <v>200</v>
      </c>
    </row>
    <row r="71" spans="1:4" x14ac:dyDescent="0.55000000000000004">
      <c r="A71" s="5"/>
      <c r="B71" s="6"/>
      <c r="C71" s="7"/>
      <c r="D71" s="30">
        <f>SUM(DespesesProjecte[[#This Row],[Import imputable a la subvenció municipal]],DespesesProjecte[[#This Row],[Import de l''aportació / Cofinançament de l''entitat]])</f>
        <v>0</v>
      </c>
    </row>
    <row r="72" spans="1:4" x14ac:dyDescent="0.55000000000000004">
      <c r="A72" s="5"/>
      <c r="B72" s="6"/>
      <c r="C72" s="7"/>
      <c r="D72" s="30">
        <f>SUM(DespesesProjecte[[#This Row],[Import imputable a la subvenció municipal]],DespesesProjecte[[#This Row],[Import de l''aportació / Cofinançament de l''entitat]])</f>
        <v>0</v>
      </c>
    </row>
    <row r="73" spans="1:4" x14ac:dyDescent="0.55000000000000004">
      <c r="A73" s="5"/>
      <c r="B73" s="6"/>
      <c r="C73" s="7"/>
      <c r="D73" s="30">
        <f>SUM(DespesesProjecte[[#This Row],[Import imputable a la subvenció municipal]],DespesesProjecte[[#This Row],[Import de l''aportació / Cofinançament de l''entitat]])</f>
        <v>0</v>
      </c>
    </row>
    <row r="74" spans="1:4" x14ac:dyDescent="0.55000000000000004">
      <c r="A74" s="5"/>
      <c r="B74" s="6"/>
      <c r="C74" s="7"/>
      <c r="D74" s="30">
        <f>SUM(DespesesProjecte[[#This Row],[Import imputable a la subvenció municipal]],DespesesProjecte[[#This Row],[Import de l''aportació / Cofinançament de l''entitat]])</f>
        <v>0</v>
      </c>
    </row>
    <row r="75" spans="1:4" x14ac:dyDescent="0.55000000000000004">
      <c r="A75" s="17" t="s">
        <v>33</v>
      </c>
      <c r="B75" s="18">
        <f>SUM(B76:B79)</f>
        <v>0</v>
      </c>
      <c r="C75" s="18">
        <f>SUM(C76:C79)</f>
        <v>0</v>
      </c>
      <c r="D75" s="21">
        <f>SUM(DespesesProjecte[[#This Row],[Import imputable a la subvenció municipal]],DespesesProjecte[[#This Row],[Import de l''aportació / Cofinançament de l''entitat]])</f>
        <v>0</v>
      </c>
    </row>
    <row r="76" spans="1:4" x14ac:dyDescent="0.55000000000000004">
      <c r="A76" s="5"/>
      <c r="B76" s="6"/>
      <c r="C76" s="7"/>
      <c r="D76" s="30">
        <f>SUM(DespesesProjecte[[#This Row],[Import imputable a la subvenció municipal]],DespesesProjecte[[#This Row],[Import de l''aportació / Cofinançament de l''entitat]])</f>
        <v>0</v>
      </c>
    </row>
    <row r="77" spans="1:4" x14ac:dyDescent="0.55000000000000004">
      <c r="A77" s="5"/>
      <c r="B77" s="6"/>
      <c r="C77" s="7"/>
      <c r="D77" s="30">
        <f>SUM(DespesesProjecte[[#This Row],[Import imputable a la subvenció municipal]],DespesesProjecte[[#This Row],[Import de l''aportació / Cofinançament de l''entitat]])</f>
        <v>0</v>
      </c>
    </row>
    <row r="78" spans="1:4" x14ac:dyDescent="0.55000000000000004">
      <c r="A78" s="5"/>
      <c r="B78" s="6"/>
      <c r="C78" s="7"/>
      <c r="D78" s="30">
        <f>SUM(DespesesProjecte[[#This Row],[Import imputable a la subvenció municipal]],DespesesProjecte[[#This Row],[Import de l''aportació / Cofinançament de l''entitat]])</f>
        <v>0</v>
      </c>
    </row>
    <row r="79" spans="1:4" x14ac:dyDescent="0.55000000000000004">
      <c r="A79" s="5"/>
      <c r="B79" s="6"/>
      <c r="C79" s="7"/>
      <c r="D79" s="30">
        <f>SUM(DespesesProjecte[[#This Row],[Import imputable a la subvenció municipal]],DespesesProjecte[[#This Row],[Import de l''aportació / Cofinançament de l''entitat]])</f>
        <v>0</v>
      </c>
    </row>
    <row r="80" spans="1:4" x14ac:dyDescent="0.55000000000000004">
      <c r="A80" s="17" t="s">
        <v>34</v>
      </c>
      <c r="B80" s="18">
        <v>100</v>
      </c>
      <c r="C80" s="18">
        <f>SUM(C81:C84)</f>
        <v>0</v>
      </c>
      <c r="D80" s="21">
        <f>SUM(DespesesProjecte[[#This Row],[Import imputable a la subvenció municipal]],DespesesProjecte[[#This Row],[Import de l''aportació / Cofinançament de l''entitat]])</f>
        <v>100</v>
      </c>
    </row>
    <row r="81" spans="1:4" x14ac:dyDescent="0.55000000000000004">
      <c r="A81" s="5"/>
      <c r="B81" s="6"/>
      <c r="C81" s="7"/>
      <c r="D81" s="30">
        <f>SUM(DespesesProjecte[[#This Row],[Import imputable a la subvenció municipal]],DespesesProjecte[[#This Row],[Import de l''aportació / Cofinançament de l''entitat]])</f>
        <v>0</v>
      </c>
    </row>
    <row r="82" spans="1:4" x14ac:dyDescent="0.55000000000000004">
      <c r="A82" s="5"/>
      <c r="B82" s="6"/>
      <c r="C82" s="7"/>
      <c r="D82" s="30">
        <f>SUM(DespesesProjecte[[#This Row],[Import imputable a la subvenció municipal]],DespesesProjecte[[#This Row],[Import de l''aportació / Cofinançament de l''entitat]])</f>
        <v>0</v>
      </c>
    </row>
    <row r="83" spans="1:4" x14ac:dyDescent="0.55000000000000004">
      <c r="A83" s="5"/>
      <c r="B83" s="6"/>
      <c r="C83" s="7"/>
      <c r="D83" s="30">
        <f>SUM(DespesesProjecte[[#This Row],[Import imputable a la subvenció municipal]],DespesesProjecte[[#This Row],[Import de l''aportació / Cofinançament de l''entitat]])</f>
        <v>0</v>
      </c>
    </row>
    <row r="84" spans="1:4" x14ac:dyDescent="0.55000000000000004">
      <c r="A84" s="5"/>
      <c r="B84" s="6"/>
      <c r="C84" s="7"/>
      <c r="D84" s="30">
        <f>SUM(DespesesProjecte[[#This Row],[Import imputable a la subvenció municipal]],DespesesProjecte[[#This Row],[Import de l''aportació / Cofinançament de l''entitat]])</f>
        <v>0</v>
      </c>
    </row>
    <row r="85" spans="1:4" ht="28.8" x14ac:dyDescent="0.55000000000000004">
      <c r="A85" s="17" t="s">
        <v>35</v>
      </c>
      <c r="B85" s="18">
        <v>100</v>
      </c>
      <c r="C85" s="18">
        <v>100</v>
      </c>
      <c r="D85" s="21">
        <f>SUM(DespesesProjecte[[#This Row],[Import imputable a la subvenció municipal]],DespesesProjecte[[#This Row],[Import de l''aportació / Cofinançament de l''entitat]])</f>
        <v>200</v>
      </c>
    </row>
    <row r="86" spans="1:4" x14ac:dyDescent="0.55000000000000004">
      <c r="A86" s="5"/>
      <c r="B86" s="6"/>
      <c r="C86" s="7"/>
      <c r="D86" s="30">
        <f>SUM(DespesesProjecte[[#This Row],[Import imputable a la subvenció municipal]],DespesesProjecte[[#This Row],[Import de l''aportació / Cofinançament de l''entitat]])</f>
        <v>0</v>
      </c>
    </row>
    <row r="87" spans="1:4" x14ac:dyDescent="0.55000000000000004">
      <c r="A87" s="1"/>
      <c r="B87" s="6"/>
      <c r="C87" s="7"/>
      <c r="D87" s="30">
        <f>SUM(DespesesProjecte[[#This Row],[Import imputable a la subvenció municipal]],DespesesProjecte[[#This Row],[Import de l''aportació / Cofinançament de l''entitat]])</f>
        <v>0</v>
      </c>
    </row>
    <row r="88" spans="1:4" x14ac:dyDescent="0.55000000000000004">
      <c r="A88" s="1"/>
      <c r="B88" s="6"/>
      <c r="C88" s="7"/>
      <c r="D88" s="30">
        <f>SUM(DespesesProjecte[[#This Row],[Import imputable a la subvenció municipal]],DespesesProjecte[[#This Row],[Import de l''aportació / Cofinançament de l''entitat]])</f>
        <v>0</v>
      </c>
    </row>
    <row r="89" spans="1:4" x14ac:dyDescent="0.55000000000000004">
      <c r="A89" s="5"/>
      <c r="B89" s="6"/>
      <c r="C89" s="7"/>
      <c r="D89" s="30">
        <f>SUM(DespesesProjecte[[#This Row],[Import imputable a la subvenció municipal]],DespesesProjecte[[#This Row],[Import de l''aportació / Cofinançament de l''entitat]])</f>
        <v>0</v>
      </c>
    </row>
    <row r="90" spans="1:4" ht="54" customHeight="1" x14ac:dyDescent="0.55000000000000004">
      <c r="A90" s="23" t="s">
        <v>38</v>
      </c>
      <c r="B90" s="42">
        <f>B40+B45+B50+B55+B60+B65+B70+B75+B80+B85</f>
        <v>900</v>
      </c>
      <c r="C90" s="47">
        <f>C40+C45+C50+C55+C60+C65+C70+C75+C80+C85</f>
        <v>500</v>
      </c>
      <c r="D90" s="47">
        <f>D40+D45+D50+D55+D60+D65+D70+D75+D80+D85</f>
        <v>1400</v>
      </c>
    </row>
    <row r="91" spans="1:4" ht="16.8" x14ac:dyDescent="0.55000000000000004">
      <c r="A91" s="24" t="s">
        <v>1</v>
      </c>
      <c r="B91" s="48">
        <f>SUM(B39+B90)</f>
        <v>9000</v>
      </c>
      <c r="C91" s="48">
        <f>SUM(C39+C90)</f>
        <v>2500</v>
      </c>
      <c r="D91" s="48">
        <f>SUM(D39+D90)</f>
        <v>11500</v>
      </c>
    </row>
    <row r="93" spans="1:4" x14ac:dyDescent="0.55000000000000004">
      <c r="A93" s="29" t="s">
        <v>13</v>
      </c>
    </row>
    <row r="95" spans="1:4" ht="37.799999999999997" customHeight="1" x14ac:dyDescent="0.55000000000000004">
      <c r="A95" s="31" t="s">
        <v>14</v>
      </c>
      <c r="C95" s="58" t="s">
        <v>19</v>
      </c>
      <c r="D95" s="58"/>
    </row>
    <row r="96" spans="1:4" ht="42" customHeight="1" x14ac:dyDescent="0.55000000000000004">
      <c r="A96" s="61" t="s">
        <v>15</v>
      </c>
      <c r="B96" s="61"/>
      <c r="C96" s="61"/>
      <c r="D96" s="61"/>
    </row>
    <row r="97" spans="1:11" ht="36.6" customHeight="1" x14ac:dyDescent="0.55000000000000004">
      <c r="A97" s="61" t="s">
        <v>16</v>
      </c>
      <c r="B97" s="61"/>
      <c r="C97" s="61"/>
      <c r="D97" s="61"/>
    </row>
    <row r="98" spans="1:11" ht="15" customHeight="1" x14ac:dyDescent="0.55000000000000004"/>
    <row r="99" spans="1:11" s="38" customFormat="1" ht="33.6" customHeight="1" x14ac:dyDescent="0.55000000000000004">
      <c r="A99" s="62" t="s">
        <v>49</v>
      </c>
      <c r="B99" s="62"/>
      <c r="C99" s="62"/>
      <c r="D99" s="62"/>
    </row>
    <row r="100" spans="1:11" s="38" customFormat="1" ht="15" customHeight="1" x14ac:dyDescent="0.55000000000000004">
      <c r="A100" s="54" t="s">
        <v>25</v>
      </c>
      <c r="B100" s="54"/>
      <c r="C100" s="54"/>
      <c r="D100" s="54"/>
    </row>
    <row r="101" spans="1:11" s="38" customFormat="1" ht="15" customHeight="1" x14ac:dyDescent="0.55000000000000004">
      <c r="A101" s="54" t="s">
        <v>47</v>
      </c>
      <c r="B101" s="54"/>
      <c r="C101" s="54"/>
      <c r="D101" s="54"/>
    </row>
    <row r="102" spans="1:11" s="38" customFormat="1" ht="15" customHeight="1" x14ac:dyDescent="0.55000000000000004">
      <c r="A102" s="54" t="s">
        <v>46</v>
      </c>
      <c r="B102" s="54"/>
      <c r="C102" s="54"/>
      <c r="D102" s="54"/>
    </row>
    <row r="103" spans="1:11" s="38" customFormat="1" ht="30" customHeight="1" x14ac:dyDescent="0.55000000000000004">
      <c r="A103" s="54" t="s">
        <v>41</v>
      </c>
      <c r="B103" s="54"/>
      <c r="C103" s="54"/>
      <c r="D103" s="54"/>
    </row>
    <row r="104" spans="1:11" s="38" customFormat="1" ht="73.2" customHeight="1" x14ac:dyDescent="0.55000000000000004">
      <c r="A104" s="54" t="s">
        <v>40</v>
      </c>
      <c r="B104" s="54"/>
      <c r="C104" s="54"/>
      <c r="D104" s="54"/>
      <c r="I104" s="44"/>
    </row>
    <row r="105" spans="1:11" s="38" customFormat="1" ht="15" customHeight="1" x14ac:dyDescent="0.55000000000000004">
      <c r="A105" s="53" t="s">
        <v>61</v>
      </c>
      <c r="B105" s="53"/>
      <c r="C105" s="53"/>
      <c r="D105" s="53"/>
      <c r="I105" s="44"/>
    </row>
    <row r="106" spans="1:11" s="38" customFormat="1" ht="31.5" customHeight="1" x14ac:dyDescent="0.55000000000000004">
      <c r="A106" s="53" t="s">
        <v>53</v>
      </c>
      <c r="B106" s="53"/>
      <c r="C106" s="53"/>
      <c r="D106" s="53"/>
      <c r="I106" s="52"/>
      <c r="J106" s="52"/>
      <c r="K106" s="52"/>
    </row>
    <row r="107" spans="1:11" s="38" customFormat="1" ht="28.8" customHeight="1" x14ac:dyDescent="0.55000000000000004">
      <c r="A107" s="53" t="s">
        <v>44</v>
      </c>
      <c r="B107" s="53"/>
      <c r="C107" s="53"/>
      <c r="D107" s="53"/>
      <c r="I107" s="44"/>
    </row>
    <row r="108" spans="1:11" s="38" customFormat="1" ht="30.75" customHeight="1" x14ac:dyDescent="0.55000000000000004">
      <c r="A108" s="53" t="s">
        <v>42</v>
      </c>
      <c r="B108" s="53"/>
      <c r="C108" s="53"/>
      <c r="D108" s="53"/>
    </row>
    <row r="109" spans="1:11" s="38" customFormat="1" ht="30.75" customHeight="1" x14ac:dyDescent="0.55000000000000004">
      <c r="A109" s="53" t="s">
        <v>60</v>
      </c>
      <c r="B109" s="53"/>
      <c r="C109" s="53"/>
      <c r="D109" s="53"/>
    </row>
    <row r="110" spans="1:11" s="38" customFormat="1" ht="16.8" customHeight="1" x14ac:dyDescent="0.55000000000000004">
      <c r="A110" s="53" t="s">
        <v>43</v>
      </c>
      <c r="B110" s="53"/>
      <c r="C110" s="53"/>
      <c r="D110" s="53"/>
    </row>
    <row r="111" spans="1:11" ht="29.4" customHeight="1" x14ac:dyDescent="0.55000000000000004">
      <c r="A111" s="53" t="s">
        <v>54</v>
      </c>
      <c r="B111" s="53"/>
      <c r="C111" s="53"/>
      <c r="D111" s="53"/>
    </row>
    <row r="112" spans="1:11" x14ac:dyDescent="0.55000000000000004">
      <c r="A112" s="53" t="s">
        <v>55</v>
      </c>
      <c r="B112" s="53"/>
      <c r="C112" s="53"/>
      <c r="D112" s="53"/>
    </row>
    <row r="113" spans="1:4" ht="15.6" customHeight="1" x14ac:dyDescent="0.55000000000000004">
      <c r="A113" s="53" t="s">
        <v>56</v>
      </c>
      <c r="B113" s="53"/>
      <c r="C113" s="53"/>
      <c r="D113" s="53"/>
    </row>
    <row r="114" spans="1:4" ht="44.4" customHeight="1" x14ac:dyDescent="0.55000000000000004">
      <c r="A114" s="53" t="s">
        <v>57</v>
      </c>
      <c r="B114" s="53"/>
      <c r="C114" s="53"/>
      <c r="D114" s="53"/>
    </row>
    <row r="115" spans="1:4" ht="29.4" customHeight="1" x14ac:dyDescent="0.55000000000000004">
      <c r="A115" s="53" t="s">
        <v>58</v>
      </c>
      <c r="B115" s="53"/>
      <c r="C115" s="53"/>
      <c r="D115" s="53"/>
    </row>
    <row r="116" spans="1:4" x14ac:dyDescent="0.55000000000000004">
      <c r="A116" s="53" t="s">
        <v>59</v>
      </c>
      <c r="B116" s="53"/>
      <c r="C116" s="53"/>
      <c r="D116" s="53"/>
    </row>
  </sheetData>
  <sheetProtection insertRows="0"/>
  <dataConsolidate/>
  <mergeCells count="28">
    <mergeCell ref="A115:D115"/>
    <mergeCell ref="A116:D116"/>
    <mergeCell ref="D1:F1"/>
    <mergeCell ref="C2:F2"/>
    <mergeCell ref="C5:F5"/>
    <mergeCell ref="A100:D100"/>
    <mergeCell ref="A101:D101"/>
    <mergeCell ref="A102:D102"/>
    <mergeCell ref="A103:D103"/>
    <mergeCell ref="C95:D95"/>
    <mergeCell ref="A3:B4"/>
    <mergeCell ref="C3:F4"/>
    <mergeCell ref="A96:D96"/>
    <mergeCell ref="A97:D97"/>
    <mergeCell ref="A99:D99"/>
    <mergeCell ref="C6:F6"/>
    <mergeCell ref="A104:D104"/>
    <mergeCell ref="A105:D105"/>
    <mergeCell ref="A106:D106"/>
    <mergeCell ref="A108:D108"/>
    <mergeCell ref="A107:D107"/>
    <mergeCell ref="I106:K106"/>
    <mergeCell ref="A111:D111"/>
    <mergeCell ref="A113:D113"/>
    <mergeCell ref="A114:D114"/>
    <mergeCell ref="A110:D110"/>
    <mergeCell ref="A109:D109"/>
    <mergeCell ref="A112:D112"/>
  </mergeCells>
  <dataValidations xWindow="688" yWindow="470" count="5">
    <dataValidation showInputMessage="1" showErrorMessage="1" errorTitle="HAS SUPERAT EL % MÀXIM " sqref="B15" xr:uid="{00000000-0002-0000-0000-000000000000}"/>
    <dataValidation errorStyle="warning" allowBlank="1" showInputMessage="1" showErrorMessage="1" sqref="B12" xr:uid="{00000000-0002-0000-0000-000001000000}"/>
    <dataValidation type="decimal" operator="lessThanOrEqual" allowBlank="1" showInputMessage="1" showErrorMessage="1" errorTitle="HAS SUPERAT L'IMPORT MÀXIM" sqref="B13" xr:uid="{00000000-0002-0000-0000-000002000000}">
      <formula1>10000</formula1>
    </dataValidation>
    <dataValidation operator="lessThanOrEqual" allowBlank="1" showInputMessage="1" showErrorMessage="1" error="EL TERMINI SUPERA ELS 12 MESOS" sqref="B14" xr:uid="{00000000-0002-0000-0000-000003000000}"/>
    <dataValidation operator="lessThanOrEqual" allowBlank="1" showInputMessage="1" showErrorMessage="1" errorTitle="HAS SUPERAT L'IMPORT MÀXIM" sqref="B91:D91" xr:uid="{00000000-0002-0000-0000-000004000000}"/>
  </dataValidations>
  <pageMargins left="0.7" right="0.7" top="0.75" bottom="0.75" header="0.3" footer="0.3"/>
  <pageSetup paperSize="9" scale="65" fitToHeight="0" orientation="landscape" r:id="rId1"/>
  <ignoredErrors>
    <ignoredError sqref="B14" calculatedColumn="1"/>
    <ignoredError sqref="D24" formula="1"/>
  </ignoredErrors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Pressupost Ab</vt:lpstr>
      <vt:lpstr>'Pressupost Ab'!_Hlk505602239</vt:lpstr>
      <vt:lpstr>Aportacio</vt:lpstr>
      <vt:lpstr>'Pressupost Ab'!Área_de_impresión</vt:lpstr>
      <vt:lpstr>CostosSubvencionats</vt:lpstr>
      <vt:lpstr>Partides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2026-03-30T15:23:43Z</dcterms:modified>
</cp:coreProperties>
</file>